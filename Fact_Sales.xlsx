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Videos\Kênh 3\Nhân Hiệu Tháng 8 - Power BI\17 - DIVIDE Tính tỷ lệ mà không bị lỗi\"/>
    </mc:Choice>
  </mc:AlternateContent>
  <xr:revisionPtr revIDLastSave="0" documentId="13_ncr:1_{729B03A0-B822-4C90-96F6-EBD0E86B35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32" i="1" l="1"/>
  <c r="G32" i="1"/>
</calcChain>
</file>

<file path=xl/sharedStrings.xml><?xml version="1.0" encoding="utf-8"?>
<sst xmlns="http://schemas.openxmlformats.org/spreadsheetml/2006/main" count="127" uniqueCount="76">
  <si>
    <t>Ma_don</t>
  </si>
  <si>
    <t>Ngay_ban</t>
  </si>
  <si>
    <t>Ma_KH</t>
  </si>
  <si>
    <t>ProductID</t>
  </si>
  <si>
    <t>So_luong</t>
  </si>
  <si>
    <t>Doanh_thu</t>
  </si>
  <si>
    <t>Loi_nhuan</t>
  </si>
  <si>
    <t>DH001</t>
  </si>
  <si>
    <t>2026-04-11</t>
  </si>
  <si>
    <t>KH002</t>
  </si>
  <si>
    <t>SP002</t>
  </si>
  <si>
    <t>DH002</t>
  </si>
  <si>
    <t>2026-06-10</t>
  </si>
  <si>
    <t>KH005</t>
  </si>
  <si>
    <t>SP003</t>
  </si>
  <si>
    <t>DH003</t>
  </si>
  <si>
    <t>2026-05-01</t>
  </si>
  <si>
    <t>SP006</t>
  </si>
  <si>
    <t>DH004</t>
  </si>
  <si>
    <t>2026-02-05</t>
  </si>
  <si>
    <t>KH006</t>
  </si>
  <si>
    <t>DH005</t>
  </si>
  <si>
    <t>2026-06-20</t>
  </si>
  <si>
    <t>SP001</t>
  </si>
  <si>
    <t>DH006</t>
  </si>
  <si>
    <t>2026-01-14</t>
  </si>
  <si>
    <t>KH003</t>
  </si>
  <si>
    <t>DH007</t>
  </si>
  <si>
    <t>2026-03-24</t>
  </si>
  <si>
    <t>KH004</t>
  </si>
  <si>
    <t>DH008</t>
  </si>
  <si>
    <t>2026-01-04</t>
  </si>
  <si>
    <t>DH009</t>
  </si>
  <si>
    <t>2026-03-08</t>
  </si>
  <si>
    <t>DH010</t>
  </si>
  <si>
    <t>2026-04-26</t>
  </si>
  <si>
    <t>KH001</t>
  </si>
  <si>
    <t>DH011</t>
  </si>
  <si>
    <t>2026-06-03</t>
  </si>
  <si>
    <t>DH012</t>
  </si>
  <si>
    <t>2026-04-08</t>
  </si>
  <si>
    <t>DH013</t>
  </si>
  <si>
    <t>2026-06-13</t>
  </si>
  <si>
    <t>SP005</t>
  </si>
  <si>
    <t>DH014</t>
  </si>
  <si>
    <t>2026-01-01</t>
  </si>
  <si>
    <t>SP004</t>
  </si>
  <si>
    <t>DH015</t>
  </si>
  <si>
    <t>2026-01-23</t>
  </si>
  <si>
    <t>DH016</t>
  </si>
  <si>
    <t>2026-01-22</t>
  </si>
  <si>
    <t>DH017</t>
  </si>
  <si>
    <t>DH018</t>
  </si>
  <si>
    <t>2026-01-08</t>
  </si>
  <si>
    <t>DH019</t>
  </si>
  <si>
    <t>2026-06-24</t>
  </si>
  <si>
    <t>DH020</t>
  </si>
  <si>
    <t>2026-03-18</t>
  </si>
  <si>
    <t>DH021</t>
  </si>
  <si>
    <t>2026-06-11</t>
  </si>
  <si>
    <t>DH022</t>
  </si>
  <si>
    <t>DH023</t>
  </si>
  <si>
    <t>2026-02-06</t>
  </si>
  <si>
    <t>DH024</t>
  </si>
  <si>
    <t>2026-02-18</t>
  </si>
  <si>
    <t>DH025</t>
  </si>
  <si>
    <t>DH026</t>
  </si>
  <si>
    <t>DH027</t>
  </si>
  <si>
    <t>DH028</t>
  </si>
  <si>
    <t>DH029</t>
  </si>
  <si>
    <t>DH030</t>
  </si>
  <si>
    <t>2026-07-13</t>
  </si>
  <si>
    <t>2026-07-08</t>
  </si>
  <si>
    <t>2026-07-17</t>
  </si>
  <si>
    <t>2026-07-20</t>
  </si>
  <si>
    <t>2026-07-19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</si>
</sst>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6FA8"/>
      </patternFill>
    </fill>
    <fill>
      <patternFill patternType="solid">
        <fgColor rgb="FFEAF3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Sales_Table" displayName="Fact_Sales_Table" ref="A1:G32" totalsRowCount="1">
  <autoFilter ref="A1:G31" xr:uid="{00000000-0009-0000-0100-000001000000}"/>
  <tableColumns count="7">
    <tableColumn id="1" xr3:uid="{00000000-0010-0000-0000-000001000000}" name="Ma_don"/>
    <tableColumn id="2" xr3:uid="{00000000-0010-0000-0000-000002000000}" name="Ngay_ban"/>
    <tableColumn id="3" xr3:uid="{00000000-0010-0000-0000-000003000000}" name="Ma_KH"/>
    <tableColumn id="4" xr3:uid="{00000000-0010-0000-0000-000004000000}" name="ProductID"/>
    <tableColumn id="5" xr3:uid="{00000000-0010-0000-0000-000005000000}" name="So_luong"/>
    <tableColumn id="6" xr3:uid="{00000000-0010-0000-0000-000006000000}" name="Doanh_thu" totalsRowFunction="custom">
      <totalsRowFormula>SUM(Fact_Sales_Table[Doanh_thu])</totalsRowFormula>
    </tableColumn>
    <tableColumn id="7" xr3:uid="{00000000-0010-0000-0000-000007000000}" name="Loi_nhuan" totalsRowFunction="custom">
      <totalsRowFormula>SUM(Fact_Sales_Table[Loi_nhuan])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1" topLeftCell="A12" activePane="bottomLeft" state="frozen"/>
      <selection pane="bottomLeft" activeCell="L28" sqref="L28"/>
    </sheetView>
  </sheetViews>
  <sheetFormatPr defaultRowHeight="14.4" x14ac:dyDescent="0.3"/>
  <cols>
    <col min="1" max="1" width="10" customWidth="1"/>
    <col min="2" max="2" width="12" customWidth="1"/>
    <col min="3" max="3" width="9" customWidth="1"/>
    <col min="4" max="4" width="11" customWidth="1"/>
    <col min="5" max="5" width="10" customWidth="1"/>
    <col min="6" max="6" width="12" customWidth="1"/>
    <col min="7" max="7" width="11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4</v>
      </c>
      <c r="F2" s="2">
        <v>1400000</v>
      </c>
      <c r="G2" s="2">
        <v>482279</v>
      </c>
    </row>
    <row r="3" spans="1:7" ht="18" customHeight="1" x14ac:dyDescent="0.3">
      <c r="A3" s="3" t="s">
        <v>11</v>
      </c>
      <c r="B3" s="3" t="s">
        <v>12</v>
      </c>
      <c r="C3" s="3" t="s">
        <v>13</v>
      </c>
      <c r="D3" s="3" t="s">
        <v>14</v>
      </c>
      <c r="E3" s="3">
        <v>4</v>
      </c>
      <c r="F3" s="3">
        <v>1280000</v>
      </c>
      <c r="G3" s="3">
        <v>528628</v>
      </c>
    </row>
    <row r="4" spans="1:7" ht="18" customHeight="1" x14ac:dyDescent="0.3">
      <c r="A4" s="2" t="s">
        <v>15</v>
      </c>
      <c r="B4" s="2" t="s">
        <v>16</v>
      </c>
      <c r="C4" s="2" t="s">
        <v>9</v>
      </c>
      <c r="D4" s="2" t="s">
        <v>17</v>
      </c>
      <c r="E4" s="2">
        <v>1</v>
      </c>
      <c r="F4" s="2">
        <v>450000</v>
      </c>
      <c r="G4" s="2">
        <v>139432</v>
      </c>
    </row>
    <row r="5" spans="1:7" ht="18" customHeight="1" x14ac:dyDescent="0.3">
      <c r="A5" s="3" t="s">
        <v>18</v>
      </c>
      <c r="B5" s="3" t="s">
        <v>19</v>
      </c>
      <c r="C5" s="3" t="s">
        <v>20</v>
      </c>
      <c r="D5" s="3" t="s">
        <v>14</v>
      </c>
      <c r="E5" s="3">
        <v>2</v>
      </c>
      <c r="F5" s="3">
        <v>640000</v>
      </c>
      <c r="G5" s="3">
        <v>169202</v>
      </c>
    </row>
    <row r="6" spans="1:7" ht="18" customHeight="1" x14ac:dyDescent="0.3">
      <c r="A6" s="2" t="s">
        <v>21</v>
      </c>
      <c r="B6" s="2" t="s">
        <v>22</v>
      </c>
      <c r="C6" s="2" t="s">
        <v>13</v>
      </c>
      <c r="D6" s="2" t="s">
        <v>23</v>
      </c>
      <c r="E6" s="2">
        <v>1</v>
      </c>
      <c r="F6" s="2">
        <v>120000</v>
      </c>
      <c r="G6" s="2">
        <v>47529</v>
      </c>
    </row>
    <row r="7" spans="1:7" ht="18" customHeight="1" x14ac:dyDescent="0.3">
      <c r="A7" s="3" t="s">
        <v>24</v>
      </c>
      <c r="B7" s="3" t="s">
        <v>25</v>
      </c>
      <c r="C7" s="3" t="s">
        <v>26</v>
      </c>
      <c r="D7" s="3" t="s">
        <v>17</v>
      </c>
      <c r="E7" s="3">
        <v>2</v>
      </c>
      <c r="F7" s="3">
        <v>900000</v>
      </c>
      <c r="G7" s="3">
        <v>196361</v>
      </c>
    </row>
    <row r="8" spans="1:7" ht="18" customHeight="1" x14ac:dyDescent="0.3">
      <c r="A8" s="2" t="s">
        <v>27</v>
      </c>
      <c r="B8" s="2" t="s">
        <v>28</v>
      </c>
      <c r="C8" s="2" t="s">
        <v>29</v>
      </c>
      <c r="D8" s="2" t="s">
        <v>10</v>
      </c>
      <c r="E8" s="2">
        <v>5</v>
      </c>
      <c r="F8" s="2">
        <v>1750000</v>
      </c>
      <c r="G8" s="2">
        <v>643104</v>
      </c>
    </row>
    <row r="9" spans="1:7" ht="18" customHeight="1" x14ac:dyDescent="0.3">
      <c r="A9" s="3" t="s">
        <v>30</v>
      </c>
      <c r="B9" s="3" t="s">
        <v>31</v>
      </c>
      <c r="C9" s="3" t="s">
        <v>9</v>
      </c>
      <c r="D9" s="3" t="s">
        <v>17</v>
      </c>
      <c r="E9" s="3">
        <v>2</v>
      </c>
      <c r="F9" s="3">
        <v>900000</v>
      </c>
      <c r="G9" s="3">
        <v>192044</v>
      </c>
    </row>
    <row r="10" spans="1:7" ht="18" customHeight="1" x14ac:dyDescent="0.3">
      <c r="A10" s="2" t="s">
        <v>32</v>
      </c>
      <c r="B10" s="2" t="s">
        <v>33</v>
      </c>
      <c r="C10" s="2" t="s">
        <v>13</v>
      </c>
      <c r="D10" s="2" t="s">
        <v>23</v>
      </c>
      <c r="E10" s="2">
        <v>5</v>
      </c>
      <c r="F10" s="2">
        <v>600000</v>
      </c>
      <c r="G10" s="2">
        <v>206668</v>
      </c>
    </row>
    <row r="11" spans="1:7" ht="18" customHeight="1" x14ac:dyDescent="0.3">
      <c r="A11" s="3" t="s">
        <v>34</v>
      </c>
      <c r="B11" s="3" t="s">
        <v>35</v>
      </c>
      <c r="C11" s="3" t="s">
        <v>36</v>
      </c>
      <c r="D11" s="3" t="s">
        <v>14</v>
      </c>
      <c r="E11" s="3">
        <v>4</v>
      </c>
      <c r="F11" s="3">
        <v>1280000</v>
      </c>
      <c r="G11" s="3">
        <v>302690</v>
      </c>
    </row>
    <row r="12" spans="1:7" ht="18" customHeight="1" x14ac:dyDescent="0.3">
      <c r="A12" s="2" t="s">
        <v>37</v>
      </c>
      <c r="B12" s="2" t="s">
        <v>38</v>
      </c>
      <c r="C12" s="2" t="s">
        <v>29</v>
      </c>
      <c r="D12" s="2" t="s">
        <v>23</v>
      </c>
      <c r="E12" s="2">
        <v>6</v>
      </c>
      <c r="F12" s="2">
        <v>720000</v>
      </c>
      <c r="G12" s="2">
        <v>262167</v>
      </c>
    </row>
    <row r="13" spans="1:7" ht="18" customHeight="1" x14ac:dyDescent="0.3">
      <c r="A13" s="3" t="s">
        <v>39</v>
      </c>
      <c r="B13" s="3" t="s">
        <v>40</v>
      </c>
      <c r="C13" s="3" t="s">
        <v>36</v>
      </c>
      <c r="D13" s="3" t="s">
        <v>23</v>
      </c>
      <c r="E13" s="3">
        <v>2</v>
      </c>
      <c r="F13" s="3">
        <v>240000</v>
      </c>
      <c r="G13" s="3">
        <v>52672</v>
      </c>
    </row>
    <row r="14" spans="1:7" ht="18" customHeight="1" x14ac:dyDescent="0.3">
      <c r="A14" s="2" t="s">
        <v>41</v>
      </c>
      <c r="B14" s="2" t="s">
        <v>42</v>
      </c>
      <c r="C14" s="2" t="s">
        <v>29</v>
      </c>
      <c r="D14" s="2" t="s">
        <v>43</v>
      </c>
      <c r="E14" s="2">
        <v>6</v>
      </c>
      <c r="F14" s="2">
        <v>570000</v>
      </c>
      <c r="G14" s="2">
        <v>153864</v>
      </c>
    </row>
    <row r="15" spans="1:7" ht="18" customHeight="1" x14ac:dyDescent="0.3">
      <c r="A15" s="3" t="s">
        <v>44</v>
      </c>
      <c r="B15" s="3" t="s">
        <v>45</v>
      </c>
      <c r="C15" s="3" t="s">
        <v>20</v>
      </c>
      <c r="D15" s="3" t="s">
        <v>46</v>
      </c>
      <c r="E15" s="3">
        <v>3</v>
      </c>
      <c r="F15" s="3">
        <v>840000</v>
      </c>
      <c r="G15" s="3">
        <v>205029</v>
      </c>
    </row>
    <row r="16" spans="1:7" ht="18" customHeight="1" x14ac:dyDescent="0.3">
      <c r="A16" s="2" t="s">
        <v>47</v>
      </c>
      <c r="B16" s="2" t="s">
        <v>48</v>
      </c>
      <c r="C16" s="2" t="s">
        <v>36</v>
      </c>
      <c r="D16" s="2" t="s">
        <v>17</v>
      </c>
      <c r="E16" s="2">
        <v>6</v>
      </c>
      <c r="F16" s="2">
        <v>2700000</v>
      </c>
      <c r="G16" s="2">
        <v>1130349</v>
      </c>
    </row>
    <row r="17" spans="1:7" ht="18" customHeight="1" x14ac:dyDescent="0.3">
      <c r="A17" s="3" t="s">
        <v>49</v>
      </c>
      <c r="B17" s="3" t="s">
        <v>50</v>
      </c>
      <c r="C17" s="3" t="s">
        <v>20</v>
      </c>
      <c r="D17" s="3" t="s">
        <v>10</v>
      </c>
      <c r="E17" s="3">
        <v>4</v>
      </c>
      <c r="F17" s="3">
        <v>1400000</v>
      </c>
      <c r="G17" s="3">
        <v>509404</v>
      </c>
    </row>
    <row r="18" spans="1:7" ht="18" customHeight="1" x14ac:dyDescent="0.3">
      <c r="A18" s="2" t="s">
        <v>51</v>
      </c>
      <c r="B18" s="2" t="s">
        <v>38</v>
      </c>
      <c r="C18" s="2" t="s">
        <v>13</v>
      </c>
      <c r="D18" s="2" t="s">
        <v>43</v>
      </c>
      <c r="E18" s="2">
        <v>4</v>
      </c>
      <c r="F18" s="2">
        <v>380000</v>
      </c>
      <c r="G18" s="2">
        <v>133116</v>
      </c>
    </row>
    <row r="19" spans="1:7" ht="18" customHeight="1" x14ac:dyDescent="0.3">
      <c r="A19" s="3" t="s">
        <v>52</v>
      </c>
      <c r="B19" s="3" t="s">
        <v>53</v>
      </c>
      <c r="C19" s="3" t="s">
        <v>9</v>
      </c>
      <c r="D19" s="3" t="s">
        <v>46</v>
      </c>
      <c r="E19" s="3">
        <v>3</v>
      </c>
      <c r="F19" s="3">
        <v>840000</v>
      </c>
      <c r="G19" s="3">
        <v>322018</v>
      </c>
    </row>
    <row r="20" spans="1:7" ht="18" customHeight="1" x14ac:dyDescent="0.3">
      <c r="A20" s="2" t="s">
        <v>54</v>
      </c>
      <c r="B20" s="2" t="s">
        <v>55</v>
      </c>
      <c r="C20" s="2" t="s">
        <v>29</v>
      </c>
      <c r="D20" s="2" t="s">
        <v>46</v>
      </c>
      <c r="E20" s="2">
        <v>1</v>
      </c>
      <c r="F20" s="2">
        <v>280000</v>
      </c>
      <c r="G20" s="2">
        <v>123734</v>
      </c>
    </row>
    <row r="21" spans="1:7" ht="18" customHeight="1" x14ac:dyDescent="0.3">
      <c r="A21" s="3" t="s">
        <v>56</v>
      </c>
      <c r="B21" s="3" t="s">
        <v>57</v>
      </c>
      <c r="C21" s="3" t="s">
        <v>9</v>
      </c>
      <c r="D21" s="3" t="s">
        <v>17</v>
      </c>
      <c r="E21" s="3">
        <v>2</v>
      </c>
      <c r="F21" s="3">
        <v>900000</v>
      </c>
      <c r="G21" s="3">
        <v>242316</v>
      </c>
    </row>
    <row r="22" spans="1:7" ht="18" customHeight="1" x14ac:dyDescent="0.3">
      <c r="A22" s="2" t="s">
        <v>58</v>
      </c>
      <c r="B22" s="2" t="s">
        <v>59</v>
      </c>
      <c r="C22" s="2" t="s">
        <v>13</v>
      </c>
      <c r="D22" s="2" t="s">
        <v>46</v>
      </c>
      <c r="E22" s="2">
        <v>3</v>
      </c>
      <c r="F22" s="2">
        <v>840000</v>
      </c>
      <c r="G22" s="2">
        <v>325736</v>
      </c>
    </row>
    <row r="23" spans="1:7" ht="18" customHeight="1" x14ac:dyDescent="0.3">
      <c r="A23" s="3" t="s">
        <v>60</v>
      </c>
      <c r="B23" s="3" t="s">
        <v>38</v>
      </c>
      <c r="C23" s="3" t="s">
        <v>9</v>
      </c>
      <c r="D23" s="3" t="s">
        <v>43</v>
      </c>
      <c r="E23" s="3">
        <v>2</v>
      </c>
      <c r="F23" s="3">
        <v>190000</v>
      </c>
      <c r="G23" s="3">
        <v>48157</v>
      </c>
    </row>
    <row r="24" spans="1:7" ht="18" customHeight="1" x14ac:dyDescent="0.3">
      <c r="A24" s="2" t="s">
        <v>61</v>
      </c>
      <c r="B24" s="2" t="s">
        <v>62</v>
      </c>
      <c r="C24" s="2" t="s">
        <v>29</v>
      </c>
      <c r="D24" s="2" t="s">
        <v>17</v>
      </c>
      <c r="E24" s="2">
        <v>2</v>
      </c>
      <c r="F24" s="2">
        <v>900000</v>
      </c>
      <c r="G24" s="2">
        <v>194482</v>
      </c>
    </row>
    <row r="25" spans="1:7" ht="18" customHeight="1" x14ac:dyDescent="0.3">
      <c r="A25" s="3" t="s">
        <v>63</v>
      </c>
      <c r="B25" s="3" t="s">
        <v>64</v>
      </c>
      <c r="C25" s="3" t="s">
        <v>13</v>
      </c>
      <c r="D25" s="3" t="s">
        <v>43</v>
      </c>
      <c r="E25" s="3">
        <v>2</v>
      </c>
      <c r="F25" s="3">
        <v>190000</v>
      </c>
      <c r="G25" s="3">
        <v>61407</v>
      </c>
    </row>
    <row r="26" spans="1:7" ht="18" customHeight="1" x14ac:dyDescent="0.3">
      <c r="A26" s="2" t="s">
        <v>65</v>
      </c>
      <c r="B26" s="2" t="s">
        <v>53</v>
      </c>
      <c r="C26" s="2" t="s">
        <v>29</v>
      </c>
      <c r="D26" s="2" t="s">
        <v>17</v>
      </c>
      <c r="E26" s="2">
        <v>6</v>
      </c>
      <c r="F26" s="2">
        <v>2700000</v>
      </c>
      <c r="G26" s="2">
        <v>619998</v>
      </c>
    </row>
    <row r="27" spans="1:7" ht="18" customHeight="1" x14ac:dyDescent="0.3">
      <c r="A27" s="3" t="s">
        <v>66</v>
      </c>
      <c r="B27" s="3" t="s">
        <v>71</v>
      </c>
      <c r="C27" s="3" t="s">
        <v>29</v>
      </c>
      <c r="D27" s="3" t="s">
        <v>10</v>
      </c>
      <c r="E27" s="3">
        <v>5</v>
      </c>
      <c r="F27" s="3">
        <v>1750000</v>
      </c>
      <c r="G27" s="3">
        <v>428226</v>
      </c>
    </row>
    <row r="28" spans="1:7" x14ac:dyDescent="0.3">
      <c r="A28" s="2" t="s">
        <v>67</v>
      </c>
      <c r="B28" s="2" t="s">
        <v>72</v>
      </c>
      <c r="C28" s="2" t="s">
        <v>9</v>
      </c>
      <c r="D28" s="2" t="s">
        <v>23</v>
      </c>
      <c r="E28" s="2">
        <v>3</v>
      </c>
      <c r="F28" s="2">
        <v>360000</v>
      </c>
      <c r="G28" s="2">
        <v>137613</v>
      </c>
    </row>
    <row r="29" spans="1:7" x14ac:dyDescent="0.3">
      <c r="A29" s="3" t="s">
        <v>68</v>
      </c>
      <c r="B29" s="3" t="s">
        <v>73</v>
      </c>
      <c r="C29" s="3" t="s">
        <v>20</v>
      </c>
      <c r="D29" s="3" t="s">
        <v>17</v>
      </c>
      <c r="E29" s="3">
        <v>5</v>
      </c>
      <c r="F29" s="3">
        <v>2250000</v>
      </c>
      <c r="G29" s="3">
        <v>500533</v>
      </c>
    </row>
    <row r="30" spans="1:7" x14ac:dyDescent="0.3">
      <c r="A30" s="2" t="s">
        <v>69</v>
      </c>
      <c r="B30" s="2" t="s">
        <v>74</v>
      </c>
      <c r="C30" s="2" t="s">
        <v>29</v>
      </c>
      <c r="D30" s="2" t="s">
        <v>10</v>
      </c>
      <c r="E30" s="2">
        <v>4</v>
      </c>
      <c r="F30" s="2">
        <v>1400000</v>
      </c>
      <c r="G30" s="2">
        <v>532779</v>
      </c>
    </row>
    <row r="31" spans="1:7" x14ac:dyDescent="0.3">
      <c r="A31" s="3" t="s">
        <v>70</v>
      </c>
      <c r="B31" s="3" t="s">
        <v>75</v>
      </c>
      <c r="C31" s="3" t="s">
        <v>9</v>
      </c>
      <c r="D31" s="3" t="s">
        <v>14</v>
      </c>
      <c r="E31" s="3">
        <v>4</v>
      </c>
      <c r="F31" s="3">
        <v>1280000</v>
      </c>
      <c r="G31" s="3">
        <v>531678</v>
      </c>
    </row>
    <row r="32" spans="1:7" x14ac:dyDescent="0.3">
      <c r="F32">
        <f>SUM(Fact_Sales_Table[Doanh_thu])</f>
        <v>30050000</v>
      </c>
      <c r="G32">
        <f>SUM(Fact_Sales_Table[Loi_nhuan])</f>
        <v>9423215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Thế Thành Nguyễn</cp:lastModifiedBy>
  <dcterms:created xsi:type="dcterms:W3CDTF">2026-09-09T01:15:22Z</dcterms:created>
  <dcterms:modified xsi:type="dcterms:W3CDTF">2026-10-09T01:37:48Z</dcterms:modified>
</cp:coreProperties>
</file>